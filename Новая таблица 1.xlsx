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4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</sheets>
  <calcPr calcMode="auto" fullCalcOnLoad="0" calcCompleted="1" calcOnSave="0"/>
</workbook>
</file>

<file path=xl/sharedStrings.xml><?xml version="1.0" encoding="utf-8"?>
<sst xmlns="http://schemas.openxmlformats.org/spreadsheetml/2006/main" count="13" uniqueCount="13">
  <si>
    <t>сумма</t>
  </si>
  <si>
    <t xml:space="preserve">сумма для 2</t>
  </si>
  <si>
    <t xml:space="preserve">сумма для 3</t>
  </si>
  <si>
    <t xml:space="preserve">статист. ф-я</t>
  </si>
  <si>
    <t xml:space="preserve">для А (лист 3)</t>
  </si>
  <si>
    <t xml:space="preserve">для В (лист 3)</t>
  </si>
  <si>
    <t xml:space="preserve">для С (лист 3)</t>
  </si>
  <si>
    <t xml:space="preserve">макс. знач.</t>
  </si>
  <si>
    <t xml:space="preserve">сред. знач.</t>
  </si>
  <si>
    <t xml:space="preserve">мин. знач.</t>
  </si>
  <si>
    <t>медиана</t>
  </si>
  <si>
    <t>мода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</si>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</sst>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sz val="12.000000"/>
      <color theme="1"/>
      <name val="XO Tha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0" applyBorder="0" quotePrefix="0"/>
  </cellStyleXfs>
  <cellXfs count="1">
    <xf fontId="1" fillId="0" borderId="0" numFmtId="0" xfId="0" applyFont="1" quotePrefix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Arial"/>
        <a:cs typeface="Arial"/>
      </a:majorFont>
      <a:minorFont>
        <a:latin typeface="XO Thames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cols>
    <col bestFit="1" customWidth="1" min="1" max="16384" style="0" width="10.788470377394527"/>
  </cols>
  <sheetData>
    <row r="1">
      <c r="B1" t="s">
        <v>0</v>
      </c>
    </row>
    <row r="2">
      <c r="A2">
        <v>0</v>
      </c>
      <c r="B2">
        <f t="shared" ref="B2:B9" si="0">2^(A2+1)-1</f>
        <v>1</v>
      </c>
    </row>
    <row r="3">
      <c r="A3">
        <v>1</v>
      </c>
      <c r="B3">
        <f t="shared" si="0"/>
        <v>3</v>
      </c>
    </row>
    <row r="4">
      <c r="A4">
        <v>2</v>
      </c>
      <c r="B4">
        <f t="shared" si="0"/>
        <v>7</v>
      </c>
    </row>
    <row r="5">
      <c r="A5">
        <v>3</v>
      </c>
      <c r="B5">
        <f t="shared" si="0"/>
        <v>15</v>
      </c>
    </row>
    <row r="6">
      <c r="A6">
        <v>4</v>
      </c>
      <c r="B6">
        <f t="shared" si="0"/>
        <v>31</v>
      </c>
    </row>
    <row r="7">
      <c r="A7">
        <v>5</v>
      </c>
      <c r="B7">
        <f t="shared" si="0"/>
        <v>63</v>
      </c>
    </row>
    <row r="8">
      <c r="A8">
        <v>6</v>
      </c>
      <c r="B8">
        <f t="shared" si="0"/>
        <v>127</v>
      </c>
    </row>
    <row r="9">
      <c r="A9">
        <v>7</v>
      </c>
      <c r="B9">
        <f t="shared" si="0"/>
        <v>255</v>
      </c>
    </row>
    <row r="10">
      <c r="A10">
        <v>8</v>
      </c>
      <c r="B10">
        <f t="shared" ref="B10:B25" si="1">2^(A10+1)-1</f>
        <v>511</v>
      </c>
    </row>
    <row r="11">
      <c r="A11">
        <v>9</v>
      </c>
      <c r="B11">
        <f t="shared" si="1"/>
        <v>1023</v>
      </c>
    </row>
    <row r="12">
      <c r="A12">
        <v>10</v>
      </c>
      <c r="B12">
        <f t="shared" si="1"/>
        <v>2047</v>
      </c>
    </row>
    <row r="13">
      <c r="A13">
        <v>11</v>
      </c>
      <c r="B13">
        <f t="shared" si="1"/>
        <v>4095</v>
      </c>
    </row>
    <row r="14">
      <c r="A14">
        <v>12</v>
      </c>
      <c r="B14">
        <f t="shared" si="1"/>
        <v>8191</v>
      </c>
    </row>
    <row r="15">
      <c r="A15">
        <v>13</v>
      </c>
      <c r="B15">
        <f t="shared" si="1"/>
        <v>16383</v>
      </c>
    </row>
    <row r="16">
      <c r="A16">
        <v>14</v>
      </c>
      <c r="B16">
        <f t="shared" si="1"/>
        <v>32767</v>
      </c>
    </row>
    <row r="17">
      <c r="A17">
        <v>15</v>
      </c>
      <c r="B17">
        <f t="shared" si="1"/>
        <v>65535</v>
      </c>
    </row>
    <row r="18">
      <c r="A18">
        <v>16</v>
      </c>
      <c r="B18">
        <f t="shared" si="1"/>
        <v>131071</v>
      </c>
    </row>
    <row r="19">
      <c r="A19">
        <v>17</v>
      </c>
      <c r="B19">
        <f t="shared" si="1"/>
        <v>262143</v>
      </c>
    </row>
    <row r="20">
      <c r="A20">
        <v>18</v>
      </c>
      <c r="B20">
        <f t="shared" si="1"/>
        <v>524287</v>
      </c>
    </row>
    <row r="21">
      <c r="A21">
        <v>19</v>
      </c>
      <c r="B21">
        <f t="shared" si="1"/>
        <v>1048575</v>
      </c>
    </row>
    <row r="22">
      <c r="A22">
        <v>20</v>
      </c>
      <c r="B22">
        <f t="shared" si="1"/>
        <v>2097151</v>
      </c>
    </row>
    <row r="23">
      <c r="A23">
        <v>21</v>
      </c>
      <c r="B23">
        <f t="shared" si="1"/>
        <v>4194303</v>
      </c>
    </row>
    <row r="24">
      <c r="A24">
        <v>22</v>
      </c>
      <c r="B24">
        <f t="shared" si="1"/>
        <v>8388607</v>
      </c>
    </row>
    <row r="25">
      <c r="A25">
        <v>23</v>
      </c>
      <c r="B25">
        <f t="shared" si="1"/>
        <v>16777215</v>
      </c>
    </row>
  </sheetData>
  <printOptions headings="0" gridLines="0"/>
  <pageMargins left="0.5905555486679076" right="0.5905555486679076" top="0.5905555486679076" bottom="0.5905555486679076" header="0.19680555164813993" footer="0.1968055516481399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B1" t="s">
        <v>0</v>
      </c>
    </row>
    <row r="2">
      <c r="A2">
        <v>0</v>
      </c>
      <c r="B2">
        <f t="shared" ref="B2:B9" si="2">(3^(A2+1)-1)/2</f>
        <v>1</v>
      </c>
    </row>
    <row r="3">
      <c r="A3">
        <v>1</v>
      </c>
      <c r="B3">
        <f t="shared" si="2"/>
        <v>4</v>
      </c>
    </row>
    <row r="4">
      <c r="A4">
        <v>2</v>
      </c>
      <c r="B4">
        <f t="shared" si="2"/>
        <v>13</v>
      </c>
    </row>
    <row r="5">
      <c r="A5">
        <v>3</v>
      </c>
      <c r="B5">
        <f t="shared" si="2"/>
        <v>40</v>
      </c>
    </row>
    <row r="6">
      <c r="A6">
        <v>4</v>
      </c>
      <c r="B6">
        <f t="shared" si="2"/>
        <v>121</v>
      </c>
    </row>
    <row r="7">
      <c r="A7">
        <v>5</v>
      </c>
      <c r="B7">
        <f t="shared" si="2"/>
        <v>364</v>
      </c>
    </row>
    <row r="8">
      <c r="A8">
        <v>6</v>
      </c>
      <c r="B8">
        <f t="shared" si="2"/>
        <v>1093</v>
      </c>
    </row>
    <row r="9">
      <c r="A9">
        <v>7</v>
      </c>
      <c r="B9">
        <f t="shared" si="2"/>
        <v>3280</v>
      </c>
    </row>
    <row r="10">
      <c r="A10">
        <v>8</v>
      </c>
      <c r="B10">
        <f t="shared" ref="B10:B25" si="3">(3^(A10+1)-1)/2</f>
        <v>9841</v>
      </c>
    </row>
    <row r="11">
      <c r="A11">
        <v>9</v>
      </c>
      <c r="B11">
        <f t="shared" si="3"/>
        <v>29524</v>
      </c>
    </row>
    <row r="12">
      <c r="A12">
        <v>10</v>
      </c>
      <c r="B12">
        <f t="shared" si="3"/>
        <v>88573</v>
      </c>
    </row>
    <row r="13">
      <c r="A13">
        <v>11</v>
      </c>
      <c r="B13">
        <f t="shared" si="3"/>
        <v>265720</v>
      </c>
    </row>
    <row r="14">
      <c r="A14">
        <v>12</v>
      </c>
      <c r="B14">
        <f t="shared" si="3"/>
        <v>797161</v>
      </c>
    </row>
    <row r="15">
      <c r="A15">
        <v>13</v>
      </c>
      <c r="B15">
        <f t="shared" si="3"/>
        <v>2391484</v>
      </c>
    </row>
    <row r="16">
      <c r="A16">
        <v>14</v>
      </c>
      <c r="B16">
        <f t="shared" si="3"/>
        <v>7174453</v>
      </c>
    </row>
    <row r="17">
      <c r="A17">
        <v>15</v>
      </c>
      <c r="B17">
        <f t="shared" si="3"/>
        <v>21523360</v>
      </c>
    </row>
    <row r="18">
      <c r="A18">
        <v>16</v>
      </c>
      <c r="B18">
        <f t="shared" si="3"/>
        <v>64570081</v>
      </c>
    </row>
    <row r="19">
      <c r="A19">
        <v>17</v>
      </c>
      <c r="B19">
        <f t="shared" si="3"/>
        <v>193710244</v>
      </c>
    </row>
    <row r="20">
      <c r="A20">
        <v>18</v>
      </c>
      <c r="B20">
        <f t="shared" si="3"/>
        <v>581130733</v>
      </c>
    </row>
    <row r="21">
      <c r="A21">
        <v>19</v>
      </c>
      <c r="B21">
        <f t="shared" si="3"/>
        <v>1743392200</v>
      </c>
    </row>
    <row r="22">
      <c r="A22">
        <v>20</v>
      </c>
      <c r="B22">
        <f t="shared" si="3"/>
        <v>5230176601</v>
      </c>
    </row>
    <row r="23">
      <c r="A23">
        <v>21</v>
      </c>
      <c r="B23">
        <f t="shared" si="3"/>
        <v>15690529804</v>
      </c>
    </row>
    <row r="24">
      <c r="A24">
        <v>22</v>
      </c>
      <c r="B24">
        <f t="shared" si="3"/>
        <v>47071589413</v>
      </c>
    </row>
    <row r="25">
      <c r="A25">
        <v>23</v>
      </c>
      <c r="B25">
        <f t="shared" si="3"/>
        <v>141214768240</v>
      </c>
    </row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B1" t="s">
        <v>1</v>
      </c>
      <c r="C1" t="s">
        <v>2</v>
      </c>
    </row>
    <row r="2">
      <c r="A2">
        <v>0</v>
      </c>
      <c r="B2">
        <f>VLOOKUP(A2, 'Лист1'!A2:B25, 2, 0)</f>
        <v>1</v>
      </c>
      <c r="C2">
        <f>VLOOKUP(A2, 'Лист2'!A2:B25, 2, 0)</f>
        <v>1</v>
      </c>
    </row>
    <row r="3">
      <c r="A3">
        <v>1</v>
      </c>
      <c r="B3">
        <f>VLOOKUP(A3, 'Лист1'!A2:B25, 2, 0)</f>
        <v>3</v>
      </c>
      <c r="C3">
        <f>VLOOKUP(A3, 'Лист2'!A2:B25, 2, 0)</f>
        <v>4</v>
      </c>
    </row>
    <row r="4">
      <c r="A4">
        <v>2</v>
      </c>
      <c r="B4">
        <f>VLOOKUP(A4, 'Лист1'!A4:B27, 2, 0)</f>
        <v>7</v>
      </c>
      <c r="C4">
        <f>VLOOKUP(A4, 'Лист2'!A4:B27, 2, 0)</f>
        <v>13</v>
      </c>
    </row>
    <row r="5">
      <c r="A5">
        <v>3</v>
      </c>
      <c r="B5">
        <f>VLOOKUP(A5, 'Лист1'!A4:B27, 2, 0)</f>
        <v>15</v>
      </c>
      <c r="C5">
        <f>VLOOKUP(A5, 'Лист2'!A4:B27, 2, 0)</f>
        <v>40</v>
      </c>
    </row>
    <row r="6">
      <c r="A6">
        <v>4</v>
      </c>
      <c r="B6">
        <f>VLOOKUP(A6, 'Лист1'!A6:B29, 2, 0)</f>
        <v>31</v>
      </c>
      <c r="C6">
        <f>VLOOKUP(A6, 'Лист2'!A6:B29, 2, 0)</f>
        <v>121</v>
      </c>
    </row>
    <row r="7">
      <c r="A7">
        <v>5</v>
      </c>
      <c r="B7">
        <f>VLOOKUP(A7, 'Лист1'!A6:B29, 2, 0)</f>
        <v>63</v>
      </c>
      <c r="C7">
        <f>VLOOKUP(A7, 'Лист2'!A6:B29, 2, 0)</f>
        <v>364</v>
      </c>
    </row>
    <row r="8">
      <c r="A8">
        <v>6</v>
      </c>
      <c r="B8">
        <f>VLOOKUP(A8, 'Лист1'!A8:B31, 2, 0)</f>
        <v>127</v>
      </c>
      <c r="C8">
        <f>VLOOKUP(A8, 'Лист2'!A8:B31, 2, 0)</f>
        <v>1093</v>
      </c>
    </row>
    <row r="9">
      <c r="A9">
        <v>7</v>
      </c>
      <c r="B9">
        <f>VLOOKUP(A9, 'Лист1'!A8:B31, 2, 0)</f>
        <v>255</v>
      </c>
      <c r="C9">
        <f>VLOOKUP(A9, 'Лист2'!A8:B31, 2, 0)</f>
        <v>3280</v>
      </c>
    </row>
    <row r="10">
      <c r="A10">
        <v>8</v>
      </c>
      <c r="B10">
        <f>VLOOKUP(A10, 'Лист1'!A10:B33, 2, 0)</f>
        <v>511</v>
      </c>
      <c r="C10">
        <f>VLOOKUP(A10, 'Лист2'!A10:B33, 2, 0)</f>
        <v>9841</v>
      </c>
    </row>
    <row r="11">
      <c r="A11">
        <v>9</v>
      </c>
      <c r="B11">
        <f>VLOOKUP(A11, 'Лист1'!A10:B33, 2, 0)</f>
        <v>1023</v>
      </c>
      <c r="C11">
        <f>VLOOKUP(A11, 'Лист2'!A10:B33, 2, 0)</f>
        <v>29524</v>
      </c>
    </row>
    <row r="12">
      <c r="A12">
        <v>10</v>
      </c>
      <c r="B12">
        <f>VLOOKUP(A12, 'Лист1'!A12:B35, 2, 0)</f>
        <v>2047</v>
      </c>
      <c r="C12">
        <f>VLOOKUP(A12, 'Лист2'!A12:B35, 2, 0)</f>
        <v>88573</v>
      </c>
    </row>
    <row r="13">
      <c r="A13">
        <v>11</v>
      </c>
      <c r="B13">
        <f>VLOOKUP(A13, 'Лист1'!A12:B35, 2, 0)</f>
        <v>4095</v>
      </c>
      <c r="C13">
        <f>VLOOKUP(A13, 'Лист2'!A12:B35, 2, 0)</f>
        <v>265720</v>
      </c>
    </row>
    <row r="14">
      <c r="A14">
        <v>12</v>
      </c>
      <c r="B14">
        <f>VLOOKUP(A14, 'Лист1'!A14:B37, 2, 0)</f>
        <v>8191</v>
      </c>
      <c r="C14">
        <f>VLOOKUP(A14, 'Лист2'!A14:B37, 2, 0)</f>
        <v>797161</v>
      </c>
    </row>
    <row r="15">
      <c r="A15">
        <v>13</v>
      </c>
      <c r="B15">
        <f>VLOOKUP(A15, 'Лист1'!A14:B37, 2, 0)</f>
        <v>16383</v>
      </c>
      <c r="C15">
        <f>VLOOKUP(A15, 'Лист2'!A14:B37, 2, 0)</f>
        <v>2391484</v>
      </c>
    </row>
    <row r="16">
      <c r="A16">
        <v>14</v>
      </c>
      <c r="B16">
        <f>VLOOKUP(A16, 'Лист1'!A16:B39, 2, 0)</f>
        <v>32767</v>
      </c>
      <c r="C16">
        <f>VLOOKUP(A16, 'Лист2'!A16:B39, 2, 0)</f>
        <v>7174453</v>
      </c>
    </row>
    <row r="17">
      <c r="A17">
        <v>15</v>
      </c>
      <c r="B17">
        <f>VLOOKUP(A17, 'Лист1'!A16:B39, 2, 0)</f>
        <v>65535</v>
      </c>
      <c r="C17">
        <f>VLOOKUP(A17, 'Лист2'!A16:B39, 2, 0)</f>
        <v>21523360</v>
      </c>
    </row>
    <row r="18">
      <c r="A18">
        <v>16</v>
      </c>
      <c r="B18">
        <f>VLOOKUP(A18, 'Лист1'!A18:B41, 2, 0)</f>
        <v>131071</v>
      </c>
      <c r="C18">
        <f>VLOOKUP(A18, 'Лист2'!A18:B41, 2, 0)</f>
        <v>64570081</v>
      </c>
    </row>
    <row r="19">
      <c r="A19">
        <v>17</v>
      </c>
      <c r="B19">
        <f>VLOOKUP(A19, 'Лист1'!A18:B41, 2, 0)</f>
        <v>262143</v>
      </c>
      <c r="C19">
        <f>VLOOKUP(A19, 'Лист2'!A18:B41, 2, 0)</f>
        <v>193710244</v>
      </c>
    </row>
    <row r="20">
      <c r="A20">
        <v>18</v>
      </c>
      <c r="B20">
        <f>VLOOKUP(A20, 'Лист1'!A20:B43, 2, 0)</f>
        <v>524287</v>
      </c>
      <c r="C20">
        <f>VLOOKUP(A20, 'Лист2'!A20:B43, 2, 0)</f>
        <v>581130733</v>
      </c>
    </row>
    <row r="21">
      <c r="A21">
        <v>19</v>
      </c>
      <c r="B21">
        <f>VLOOKUP(A21, 'Лист1'!A20:B43, 2, 0)</f>
        <v>1048575</v>
      </c>
      <c r="C21">
        <f>VLOOKUP(A21, 'Лист2'!A20:B43, 2, 0)</f>
        <v>1743392200</v>
      </c>
    </row>
    <row r="22">
      <c r="A22">
        <v>20</v>
      </c>
      <c r="B22">
        <f>VLOOKUP(A22, 'Лист1'!A22:B45, 2, 0)</f>
        <v>2097151</v>
      </c>
      <c r="C22">
        <f>VLOOKUP(A22, 'Лист2'!A22:B45, 2, 0)</f>
        <v>5230176601</v>
      </c>
    </row>
    <row r="23">
      <c r="A23">
        <v>21</v>
      </c>
      <c r="B23">
        <f>VLOOKUP(A23, 'Лист1'!A22:B45, 2, 0)</f>
        <v>4194303</v>
      </c>
      <c r="C23">
        <f>VLOOKUP(A23, 'Лист2'!A22:B45, 2, 0)</f>
        <v>15690529804</v>
      </c>
    </row>
    <row r="24">
      <c r="A24">
        <v>22</v>
      </c>
      <c r="B24">
        <f>VLOOKUP(A24, 'Лист1'!A24:B47, 2, 0)</f>
        <v>8388607</v>
      </c>
      <c r="C24">
        <f>VLOOKUP(A24, 'Лист2'!A24:B47, 2, 0)</f>
        <v>47071589413</v>
      </c>
    </row>
    <row r="25">
      <c r="A25">
        <v>23</v>
      </c>
      <c r="B25">
        <f>VLOOKUP(A25, 'Лист1'!A24:B47, 2, 0)</f>
        <v>16777215</v>
      </c>
      <c r="C25">
        <f>VLOOKUP(A25, 'Лист2'!A24:B47, 2, 0)</f>
        <v>141214768240</v>
      </c>
    </row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7</v>
      </c>
      <c r="B2">
        <f>AVERAGE('Лист3'!A2:A25)</f>
        <v>11.5</v>
      </c>
      <c r="C2">
        <f>AVERAGE('Лист3'!B2:B25)</f>
        <v>1398100.25</v>
      </c>
      <c r="D2">
        <f>AVERAGE('Лист3'!C2:C25)</f>
        <v>8825923014.5</v>
      </c>
    </row>
    <row r="3">
      <c r="A3" t="s">
        <v>8</v>
      </c>
      <c r="B3">
        <f>MAX('Лист3'!A2:A25)</f>
        <v>23</v>
      </c>
      <c r="C3">
        <f>MAX('Лист3'!B2:B25)</f>
        <v>16777215</v>
      </c>
      <c r="D3">
        <f>MAX('Лист3'!C2:C25)</f>
        <v>141214768240</v>
      </c>
    </row>
    <row r="4">
      <c r="A4" t="s">
        <v>9</v>
      </c>
      <c r="B4">
        <f>MIN('Лист3'!A2:A25)</f>
        <v>0</v>
      </c>
      <c r="C4">
        <f>MIN('Лист3'!B2:B25)</f>
        <v>1</v>
      </c>
      <c r="D4">
        <f>MIN('Лист3'!C2:C25)</f>
        <v>1</v>
      </c>
    </row>
    <row r="5">
      <c r="A5" t="s">
        <v>10</v>
      </c>
      <c r="B5">
        <f>MEDIAN('Лист3'!A2:A25)</f>
        <v>11.5</v>
      </c>
      <c r="C5">
        <f>MEDIAN('Лист3'!B2:B25)</f>
        <v>6143</v>
      </c>
      <c r="D5">
        <f>MEDIAN('Лист3'!C2:C25)</f>
        <v>531440.5</v>
      </c>
    </row>
    <row r="6">
      <c r="A6" t="s">
        <v>11</v>
      </c>
      <c r="B6" t="e">
        <f>_XLFN.MODE.SNGL('Лист3'!A2:A25)</f>
        <v>#N/A</v>
      </c>
      <c r="C6" t="e">
        <f>_XLFN.MODE.SNGL('Лист3'!B2:B25)</f>
        <v>#N/A</v>
      </c>
      <c r="D6" t="e">
        <f>_XLFN.MODE.SNGL('Лист3'!C2:C25)</f>
        <v>#N/A</v>
      </c>
    </row>
    <row r="7">
      <c r="A7" t="s">
        <v>12</v>
      </c>
      <c r="B7">
        <f>_XLFN.VAR.S('Лист3'!A2:A25)</f>
        <v>50</v>
      </c>
      <c r="C7">
        <f>_XLFN.VAR.S('Лист3'!B2:B25)</f>
        <v>14277716453108.805</v>
      </c>
      <c r="D7">
        <f>_XLFN.VAR.S('Лист3'!C2:C25)</f>
        <v>8.9412113503345364e+20</v>
      </c>
    </row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DocSecurity>0</DocSecurity>
  <ScaleCrop>false</ScaleCrop>
  <Template>Normal.dotm</Templ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2026-05-04T10:17:04Z</dcterms:created>
  <dcterms:modified xsi:type="dcterms:W3CDTF">2026-05-04T10:45:24Z</dcterms:modified>
</cp:coreProperties>
</file>